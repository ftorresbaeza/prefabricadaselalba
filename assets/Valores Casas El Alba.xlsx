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UPUESTOS\"/>
    </mc:Choice>
  </mc:AlternateContent>
  <xr:revisionPtr revIDLastSave="0" documentId="13_ncr:1_{4360F990-B5B2-42F0-81A3-C6C63EC2FD44}" xr6:coauthVersionLast="47" xr6:coauthVersionMax="47" xr10:uidLastSave="{00000000-0000-0000-0000-000000000000}"/>
  <bookViews>
    <workbookView xWindow="-108" yWindow="-108" windowWidth="23256" windowHeight="12456" xr2:uid="{BF293BF3-EFC0-4BD7-B972-F65A995CAC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1" i="1" l="1"/>
  <c r="AN12" i="1"/>
  <c r="AN10" i="1"/>
  <c r="AN5" i="1"/>
  <c r="AN4" i="1"/>
  <c r="AN3" i="1"/>
  <c r="AI26" i="1"/>
  <c r="AI25" i="1"/>
  <c r="AI24" i="1"/>
  <c r="AI19" i="1"/>
  <c r="AI18" i="1"/>
  <c r="AI17" i="1"/>
  <c r="AI12" i="1"/>
  <c r="AI11" i="1"/>
  <c r="AD12" i="1"/>
  <c r="AD11" i="1"/>
  <c r="AD10" i="1"/>
  <c r="AI5" i="1"/>
  <c r="AI4" i="1"/>
  <c r="AI3" i="1"/>
  <c r="AI10" i="1"/>
  <c r="AD26" i="1"/>
  <c r="AD25" i="1"/>
  <c r="AD24" i="1"/>
  <c r="AD19" i="1"/>
  <c r="AD18" i="1"/>
  <c r="AD17" i="1"/>
  <c r="AD5" i="1"/>
  <c r="AD4" i="1"/>
  <c r="AD3" i="1"/>
  <c r="Y26" i="1"/>
  <c r="Y25" i="1"/>
  <c r="Y24" i="1"/>
  <c r="Y19" i="1"/>
  <c r="Y18" i="1"/>
  <c r="Y17" i="1"/>
  <c r="Y12" i="1"/>
  <c r="Y11" i="1"/>
  <c r="Y5" i="1"/>
  <c r="Y4" i="1"/>
  <c r="Y10" i="1"/>
  <c r="Y3" i="1"/>
  <c r="T24" i="1"/>
  <c r="T10" i="1"/>
  <c r="O24" i="1"/>
  <c r="O17" i="1"/>
  <c r="O10" i="1"/>
  <c r="O3" i="1"/>
  <c r="J24" i="1"/>
  <c r="J17" i="1"/>
  <c r="J10" i="1"/>
  <c r="J3" i="1"/>
  <c r="E3" i="1"/>
  <c r="E10" i="1"/>
  <c r="E17" i="1"/>
  <c r="E24" i="1"/>
  <c r="T26" i="1"/>
  <c r="T25" i="1"/>
  <c r="T19" i="1"/>
  <c r="T18" i="1"/>
  <c r="T17" i="1"/>
  <c r="T12" i="1"/>
  <c r="T11" i="1"/>
  <c r="T5" i="1"/>
  <c r="T4" i="1"/>
  <c r="T3" i="1"/>
  <c r="O26" i="1"/>
  <c r="O25" i="1"/>
  <c r="O19" i="1"/>
  <c r="O18" i="1"/>
  <c r="O12" i="1"/>
  <c r="O11" i="1"/>
  <c r="O5" i="1"/>
  <c r="O4" i="1"/>
  <c r="J26" i="1"/>
  <c r="J25" i="1"/>
  <c r="J19" i="1"/>
  <c r="J18" i="1"/>
  <c r="J12" i="1"/>
  <c r="J11" i="1"/>
  <c r="J5" i="1"/>
  <c r="J4" i="1"/>
  <c r="E26" i="1"/>
  <c r="E25" i="1"/>
  <c r="E19" i="1"/>
  <c r="E18" i="1"/>
  <c r="E12" i="1"/>
  <c r="E11" i="1"/>
  <c r="E5" i="1"/>
  <c r="E4" i="1"/>
</calcChain>
</file>

<file path=xl/sharedStrings.xml><?xml version="1.0" encoding="utf-8"?>
<sst xmlns="http://schemas.openxmlformats.org/spreadsheetml/2006/main" count="146" uniqueCount="34">
  <si>
    <t>Kit Completo con Instalaciones</t>
  </si>
  <si>
    <t>Casa Llave en Mano</t>
  </si>
  <si>
    <t>CASA MODELO 36 M2</t>
  </si>
  <si>
    <t>CASA MODELO 42 M2</t>
  </si>
  <si>
    <t>CASA MODELO 45,6 M2</t>
  </si>
  <si>
    <t>CASA MODELO 54 M2</t>
  </si>
  <si>
    <t>CASA MODELO 47 M2</t>
  </si>
  <si>
    <t>CASA MODELO 57 M2</t>
  </si>
  <si>
    <t>CASA MODELO 72 M2</t>
  </si>
  <si>
    <t>CASA MODELO 76 M2</t>
  </si>
  <si>
    <t>CASA MODELO 80 M2</t>
  </si>
  <si>
    <t>CASA MODELO 74 M2</t>
  </si>
  <si>
    <t>CASA MODELO 83 M2</t>
  </si>
  <si>
    <t>Kit Completo de Autoconstrucción</t>
  </si>
  <si>
    <t>CASA MODELO 94 M2 - TRADICIONAL</t>
  </si>
  <si>
    <t>CASA MODELO 94 M2 - MEDITERRANEA</t>
  </si>
  <si>
    <t>CASA MODELO 107 M2</t>
  </si>
  <si>
    <t>CASA MODELO 118 M2</t>
  </si>
  <si>
    <t>CASA MODELO 117 M2 - 2 NIVELES</t>
  </si>
  <si>
    <t>CASA MODELO 120 M2 - AMERICANA</t>
  </si>
  <si>
    <t>CASA MODELO 120 M2 - MEDITERRANEA</t>
  </si>
  <si>
    <t>CASA MODELO 130 M2</t>
  </si>
  <si>
    <t>CASA MODELO 134 M2 - TRADICIONAL</t>
  </si>
  <si>
    <t xml:space="preserve">CASA MODELO 136 M2 </t>
  </si>
  <si>
    <t>CASA MODELO 138 M2</t>
  </si>
  <si>
    <t>CASA MODELO 139 M2</t>
  </si>
  <si>
    <t>CASA MODELO 140 M2 - AMERICANO</t>
  </si>
  <si>
    <t xml:space="preserve">CASA MODELO 141 M2 </t>
  </si>
  <si>
    <t>CASA MODELO 149 M2 - MEDITERRANEO</t>
  </si>
  <si>
    <t>CASA MODELO 191 M2 - AMERICANO</t>
  </si>
  <si>
    <t>CASA MODELO 193 M2 - MEDITERRANEO</t>
  </si>
  <si>
    <t>CASA MODELO 196 M2 - MEDITERRANEO</t>
  </si>
  <si>
    <t>CASA MODELO 255 M2 - COLONIAL</t>
  </si>
  <si>
    <t>Terrazas: Opcional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</si>
</sst>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165" fontId="0" fillId="0" borderId="1" xfId="0" applyNumberFormat="1" applyBorder="1"/>
    <xf numFmtId="0" fontId="2" fillId="0" borderId="0" xfId="0" applyFont="1" applyBorder="1" applyAlignment="1">
      <alignment horizontal="center"/>
    </xf>
    <xf numFmtId="165" fontId="0" fillId="0" borderId="0" xfId="1" applyNumberFormat="1" applyFont="1" applyBorder="1"/>
    <xf numFmtId="165" fontId="0" fillId="0" borderId="0" xfId="0" applyNumberFormat="1" applyBorder="1"/>
    <xf numFmtId="0" fontId="0" fillId="0" borderId="0" xfId="0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CA22-DABA-4446-92A4-5A53E7DF9AC1}">
  <dimension ref="B2:AN27"/>
  <sheetViews>
    <sheetView tabSelected="1" topLeftCell="V1" zoomScale="90" zoomScaleNormal="90" workbookViewId="0">
      <selection activeCell="AK30" sqref="AK30"/>
    </sheetView>
  </sheetViews>
  <sheetFormatPr baseColWidth="10" defaultRowHeight="14.4" x14ac:dyDescent="0.3"/>
  <cols>
    <col min="5" max="5" width="12.109375" bestFit="1" customWidth="1"/>
    <col min="10" max="10" width="13.6640625" bestFit="1" customWidth="1"/>
    <col min="15" max="15" width="12.109375" bestFit="1" customWidth="1"/>
    <col min="20" max="20" width="12.109375" bestFit="1" customWidth="1"/>
    <col min="21" max="21" width="12.109375" customWidth="1"/>
    <col min="25" max="25" width="12.109375" bestFit="1" customWidth="1"/>
    <col min="26" max="27" width="12.109375" customWidth="1"/>
    <col min="30" max="30" width="12.109375" bestFit="1" customWidth="1"/>
    <col min="31" max="31" width="12.109375" customWidth="1"/>
    <col min="35" max="35" width="13.21875" bestFit="1" customWidth="1"/>
    <col min="40" max="40" width="13.21875" bestFit="1" customWidth="1"/>
  </cols>
  <sheetData>
    <row r="2" spans="2:40" x14ac:dyDescent="0.3">
      <c r="B2" s="4" t="s">
        <v>2</v>
      </c>
      <c r="C2" s="4"/>
      <c r="D2" s="4"/>
      <c r="E2" s="4"/>
      <c r="G2" s="4" t="s">
        <v>5</v>
      </c>
      <c r="H2" s="4"/>
      <c r="I2" s="4"/>
      <c r="J2" s="4"/>
      <c r="L2" s="4" t="s">
        <v>9</v>
      </c>
      <c r="M2" s="4"/>
      <c r="N2" s="4"/>
      <c r="O2" s="4"/>
      <c r="Q2" s="4" t="s">
        <v>15</v>
      </c>
      <c r="R2" s="4"/>
      <c r="S2" s="4"/>
      <c r="T2" s="4"/>
      <c r="U2" s="6"/>
      <c r="V2" s="4" t="s">
        <v>19</v>
      </c>
      <c r="W2" s="4"/>
      <c r="X2" s="4"/>
      <c r="Y2" s="4"/>
      <c r="Z2" s="6"/>
      <c r="AA2" s="4" t="s">
        <v>23</v>
      </c>
      <c r="AB2" s="4"/>
      <c r="AC2" s="4"/>
      <c r="AD2" s="4"/>
      <c r="AE2" s="6"/>
      <c r="AF2" s="4" t="s">
        <v>27</v>
      </c>
      <c r="AG2" s="4"/>
      <c r="AH2" s="4"/>
      <c r="AI2" s="4"/>
      <c r="AK2" s="4" t="s">
        <v>31</v>
      </c>
      <c r="AL2" s="4"/>
      <c r="AM2" s="4"/>
      <c r="AN2" s="4"/>
    </row>
    <row r="3" spans="2:40" x14ac:dyDescent="0.3">
      <c r="B3" s="2" t="s">
        <v>13</v>
      </c>
      <c r="C3" s="2"/>
      <c r="D3" s="2"/>
      <c r="E3" s="3">
        <f>215000*36</f>
        <v>7740000</v>
      </c>
      <c r="G3" s="2" t="s">
        <v>13</v>
      </c>
      <c r="H3" s="2"/>
      <c r="I3" s="2"/>
      <c r="J3" s="3">
        <f>215000*54</f>
        <v>11610000</v>
      </c>
      <c r="L3" s="2" t="s">
        <v>13</v>
      </c>
      <c r="M3" s="2"/>
      <c r="N3" s="2"/>
      <c r="O3" s="3">
        <f>215000*76</f>
        <v>16340000</v>
      </c>
      <c r="Q3" s="2" t="s">
        <v>13</v>
      </c>
      <c r="R3" s="2"/>
      <c r="S3" s="2"/>
      <c r="T3" s="3">
        <f>229000*94</f>
        <v>21526000</v>
      </c>
      <c r="U3" s="7"/>
      <c r="V3" s="2" t="s">
        <v>13</v>
      </c>
      <c r="W3" s="2"/>
      <c r="X3" s="2"/>
      <c r="Y3" s="3">
        <f>215000*120</f>
        <v>25800000</v>
      </c>
      <c r="Z3" s="7"/>
      <c r="AA3" s="2" t="s">
        <v>13</v>
      </c>
      <c r="AB3" s="2"/>
      <c r="AC3" s="2"/>
      <c r="AD3" s="3">
        <f>215000*136</f>
        <v>29240000</v>
      </c>
      <c r="AE3" s="7"/>
      <c r="AF3" s="2" t="s">
        <v>13</v>
      </c>
      <c r="AG3" s="2"/>
      <c r="AH3" s="2"/>
      <c r="AI3" s="3">
        <f>215000*141</f>
        <v>30315000</v>
      </c>
      <c r="AK3" s="2" t="s">
        <v>13</v>
      </c>
      <c r="AL3" s="2"/>
      <c r="AM3" s="2"/>
      <c r="AN3" s="3">
        <f>230000*196</f>
        <v>45080000</v>
      </c>
    </row>
    <row r="4" spans="2:40" x14ac:dyDescent="0.3">
      <c r="B4" s="1" t="s">
        <v>0</v>
      </c>
      <c r="C4" s="1"/>
      <c r="D4" s="1"/>
      <c r="E4" s="5">
        <f>520000*36</f>
        <v>18720000</v>
      </c>
      <c r="G4" s="1" t="s">
        <v>0</v>
      </c>
      <c r="H4" s="1"/>
      <c r="I4" s="1"/>
      <c r="J4" s="5">
        <f>520000*54</f>
        <v>28080000</v>
      </c>
      <c r="L4" s="1" t="s">
        <v>0</v>
      </c>
      <c r="M4" s="1"/>
      <c r="N4" s="1"/>
      <c r="O4" s="5">
        <f>520000*76</f>
        <v>39520000</v>
      </c>
      <c r="Q4" s="1" t="s">
        <v>0</v>
      </c>
      <c r="R4" s="1"/>
      <c r="S4" s="1"/>
      <c r="T4" s="5">
        <f>540000*94</f>
        <v>50760000</v>
      </c>
      <c r="U4" s="8"/>
      <c r="V4" s="1" t="s">
        <v>0</v>
      </c>
      <c r="W4" s="1"/>
      <c r="X4" s="1"/>
      <c r="Y4" s="5">
        <f>520000*120</f>
        <v>62400000</v>
      </c>
      <c r="Z4" s="8"/>
      <c r="AA4" s="1" t="s">
        <v>0</v>
      </c>
      <c r="AB4" s="1"/>
      <c r="AC4" s="1"/>
      <c r="AD4" s="5">
        <f>520000*136</f>
        <v>70720000</v>
      </c>
      <c r="AE4" s="8"/>
      <c r="AF4" s="1" t="s">
        <v>0</v>
      </c>
      <c r="AG4" s="1"/>
      <c r="AH4" s="1"/>
      <c r="AI4" s="5">
        <f>520000*141</f>
        <v>73320000</v>
      </c>
      <c r="AK4" s="1" t="s">
        <v>0</v>
      </c>
      <c r="AL4" s="1"/>
      <c r="AM4" s="1"/>
      <c r="AN4" s="5">
        <f>520000*196</f>
        <v>101920000</v>
      </c>
    </row>
    <row r="5" spans="2:40" x14ac:dyDescent="0.3">
      <c r="B5" s="1" t="s">
        <v>1</v>
      </c>
      <c r="C5" s="1"/>
      <c r="D5" s="1"/>
      <c r="E5" s="5">
        <f>610000*36</f>
        <v>21960000</v>
      </c>
      <c r="G5" s="1" t="s">
        <v>1</v>
      </c>
      <c r="H5" s="1"/>
      <c r="I5" s="1"/>
      <c r="J5" s="5">
        <f>610000*54</f>
        <v>32940000</v>
      </c>
      <c r="L5" s="1" t="s">
        <v>1</v>
      </c>
      <c r="M5" s="1"/>
      <c r="N5" s="1"/>
      <c r="O5" s="5">
        <f>610000*76</f>
        <v>46360000</v>
      </c>
      <c r="Q5" s="1" t="s">
        <v>1</v>
      </c>
      <c r="R5" s="1"/>
      <c r="S5" s="1"/>
      <c r="T5" s="5">
        <f>630000*94</f>
        <v>59220000</v>
      </c>
      <c r="U5" s="8"/>
      <c r="V5" s="1" t="s">
        <v>1</v>
      </c>
      <c r="W5" s="1"/>
      <c r="X5" s="1"/>
      <c r="Y5" s="5">
        <f>610000*120</f>
        <v>73200000</v>
      </c>
      <c r="Z5" s="8"/>
      <c r="AA5" s="1" t="s">
        <v>1</v>
      </c>
      <c r="AB5" s="1"/>
      <c r="AC5" s="1"/>
      <c r="AD5" s="5">
        <f>610000*136</f>
        <v>82960000</v>
      </c>
      <c r="AE5" s="8"/>
      <c r="AF5" s="1" t="s">
        <v>1</v>
      </c>
      <c r="AG5" s="1"/>
      <c r="AH5" s="1"/>
      <c r="AI5" s="5">
        <f>610000*141</f>
        <v>86010000</v>
      </c>
      <c r="AK5" s="1" t="s">
        <v>1</v>
      </c>
      <c r="AL5" s="1"/>
      <c r="AM5" s="1"/>
      <c r="AN5" s="5">
        <f>610000*196</f>
        <v>119560000</v>
      </c>
    </row>
    <row r="6" spans="2:40" x14ac:dyDescent="0.3">
      <c r="B6" s="4" t="s">
        <v>33</v>
      </c>
      <c r="C6" s="4"/>
      <c r="D6" s="4"/>
      <c r="E6" s="4"/>
      <c r="G6" s="4" t="s">
        <v>33</v>
      </c>
      <c r="H6" s="4"/>
      <c r="I6" s="4"/>
      <c r="J6" s="4"/>
      <c r="L6" s="9"/>
      <c r="M6" s="9"/>
      <c r="N6" s="9"/>
      <c r="O6" s="8"/>
      <c r="Q6" s="4" t="s">
        <v>33</v>
      </c>
      <c r="R6" s="4"/>
      <c r="S6" s="4"/>
      <c r="T6" s="4"/>
      <c r="U6" s="8"/>
      <c r="V6" s="4" t="s">
        <v>33</v>
      </c>
      <c r="W6" s="4"/>
      <c r="X6" s="4"/>
      <c r="Y6" s="4"/>
      <c r="Z6" s="8"/>
      <c r="AA6" s="4" t="s">
        <v>33</v>
      </c>
      <c r="AB6" s="4"/>
      <c r="AC6" s="4"/>
      <c r="AD6" s="4"/>
      <c r="AE6" s="8"/>
      <c r="AF6" s="4" t="s">
        <v>33</v>
      </c>
      <c r="AG6" s="4"/>
      <c r="AH6" s="4"/>
      <c r="AI6" s="4"/>
      <c r="AK6" s="9"/>
      <c r="AL6" s="9"/>
      <c r="AM6" s="9"/>
      <c r="AN6" s="8"/>
    </row>
    <row r="7" spans="2:40" x14ac:dyDescent="0.3">
      <c r="B7" s="9"/>
      <c r="C7" s="9"/>
      <c r="D7" s="9"/>
      <c r="E7" s="8"/>
      <c r="G7" s="9"/>
      <c r="H7" s="9"/>
      <c r="I7" s="9"/>
      <c r="J7" s="8"/>
      <c r="L7" s="9"/>
      <c r="M7" s="9"/>
      <c r="N7" s="9"/>
      <c r="O7" s="8"/>
      <c r="Q7" s="9"/>
      <c r="R7" s="9"/>
      <c r="S7" s="9"/>
      <c r="T7" s="8"/>
      <c r="U7" s="8"/>
      <c r="V7" s="9"/>
      <c r="W7" s="9"/>
      <c r="X7" s="9"/>
      <c r="Y7" s="8"/>
      <c r="Z7" s="8"/>
      <c r="AA7" s="9"/>
      <c r="AB7" s="9"/>
      <c r="AC7" s="9"/>
      <c r="AD7" s="8"/>
      <c r="AE7" s="8"/>
      <c r="AF7" s="9"/>
      <c r="AG7" s="9"/>
      <c r="AH7" s="9"/>
      <c r="AI7" s="8"/>
      <c r="AK7" s="9"/>
      <c r="AL7" s="9"/>
      <c r="AM7" s="9"/>
      <c r="AN7" s="8"/>
    </row>
    <row r="9" spans="2:40" x14ac:dyDescent="0.3">
      <c r="B9" s="4" t="s">
        <v>3</v>
      </c>
      <c r="C9" s="4"/>
      <c r="D9" s="4"/>
      <c r="E9" s="4"/>
      <c r="G9" s="4" t="s">
        <v>7</v>
      </c>
      <c r="H9" s="4"/>
      <c r="I9" s="4"/>
      <c r="J9" s="4"/>
      <c r="L9" s="4" t="s">
        <v>10</v>
      </c>
      <c r="M9" s="4"/>
      <c r="N9" s="4"/>
      <c r="O9" s="4"/>
      <c r="Q9" s="4" t="s">
        <v>16</v>
      </c>
      <c r="R9" s="4"/>
      <c r="S9" s="4"/>
      <c r="T9" s="4"/>
      <c r="U9" s="6"/>
      <c r="V9" s="4" t="s">
        <v>20</v>
      </c>
      <c r="W9" s="4"/>
      <c r="X9" s="4"/>
      <c r="Y9" s="4"/>
      <c r="Z9" s="6"/>
      <c r="AA9" s="4" t="s">
        <v>24</v>
      </c>
      <c r="AB9" s="4"/>
      <c r="AC9" s="4"/>
      <c r="AD9" s="4"/>
      <c r="AE9" s="6"/>
      <c r="AF9" s="4" t="s">
        <v>28</v>
      </c>
      <c r="AG9" s="4"/>
      <c r="AH9" s="4"/>
      <c r="AI9" s="4"/>
      <c r="AK9" s="4" t="s">
        <v>32</v>
      </c>
      <c r="AL9" s="4"/>
      <c r="AM9" s="4"/>
      <c r="AN9" s="4"/>
    </row>
    <row r="10" spans="2:40" x14ac:dyDescent="0.3">
      <c r="B10" s="2" t="s">
        <v>13</v>
      </c>
      <c r="C10" s="2"/>
      <c r="D10" s="2"/>
      <c r="E10" s="3">
        <f>215000*42</f>
        <v>9030000</v>
      </c>
      <c r="G10" s="2" t="s">
        <v>13</v>
      </c>
      <c r="H10" s="2"/>
      <c r="I10" s="2"/>
      <c r="J10" s="3">
        <f>215000*57</f>
        <v>12255000</v>
      </c>
      <c r="L10" s="2" t="s">
        <v>13</v>
      </c>
      <c r="M10" s="2"/>
      <c r="N10" s="2"/>
      <c r="O10" s="3">
        <f>215000*80</f>
        <v>17200000</v>
      </c>
      <c r="Q10" s="2" t="s">
        <v>13</v>
      </c>
      <c r="R10" s="2"/>
      <c r="S10" s="2"/>
      <c r="T10" s="3">
        <f>215000*107</f>
        <v>23005000</v>
      </c>
      <c r="U10" s="7"/>
      <c r="V10" s="2" t="s">
        <v>13</v>
      </c>
      <c r="W10" s="2"/>
      <c r="X10" s="2"/>
      <c r="Y10" s="3">
        <f>230000*120</f>
        <v>27600000</v>
      </c>
      <c r="Z10" s="7"/>
      <c r="AA10" s="2" t="s">
        <v>13</v>
      </c>
      <c r="AB10" s="2"/>
      <c r="AC10" s="2"/>
      <c r="AD10" s="3">
        <f>215000*138</f>
        <v>29670000</v>
      </c>
      <c r="AE10" s="7"/>
      <c r="AF10" s="2" t="s">
        <v>13</v>
      </c>
      <c r="AG10" s="2"/>
      <c r="AH10" s="2"/>
      <c r="AI10" s="3">
        <f>230000*138</f>
        <v>31740000</v>
      </c>
      <c r="AK10" s="2" t="s">
        <v>13</v>
      </c>
      <c r="AL10" s="2"/>
      <c r="AM10" s="2"/>
      <c r="AN10" s="3">
        <f>230000*255</f>
        <v>58650000</v>
      </c>
    </row>
    <row r="11" spans="2:40" x14ac:dyDescent="0.3">
      <c r="B11" s="1" t="s">
        <v>0</v>
      </c>
      <c r="C11" s="1"/>
      <c r="D11" s="1"/>
      <c r="E11" s="5">
        <f>520000*42</f>
        <v>21840000</v>
      </c>
      <c r="G11" s="1" t="s">
        <v>0</v>
      </c>
      <c r="H11" s="1"/>
      <c r="I11" s="1"/>
      <c r="J11" s="5">
        <f>520000*57</f>
        <v>29640000</v>
      </c>
      <c r="L11" s="1" t="s">
        <v>0</v>
      </c>
      <c r="M11" s="1"/>
      <c r="N11" s="1"/>
      <c r="O11" s="5">
        <f>520000*80</f>
        <v>41600000</v>
      </c>
      <c r="Q11" s="1" t="s">
        <v>0</v>
      </c>
      <c r="R11" s="1"/>
      <c r="S11" s="1"/>
      <c r="T11" s="5">
        <f>520000*107</f>
        <v>55640000</v>
      </c>
      <c r="U11" s="8"/>
      <c r="V11" s="1" t="s">
        <v>0</v>
      </c>
      <c r="W11" s="1"/>
      <c r="X11" s="1"/>
      <c r="Y11" s="5">
        <f>540000*80</f>
        <v>43200000</v>
      </c>
      <c r="Z11" s="8"/>
      <c r="AA11" s="1" t="s">
        <v>0</v>
      </c>
      <c r="AB11" s="1"/>
      <c r="AC11" s="1"/>
      <c r="AD11" s="5">
        <f>520000*138</f>
        <v>71760000</v>
      </c>
      <c r="AE11" s="8"/>
      <c r="AF11" s="1" t="s">
        <v>0</v>
      </c>
      <c r="AG11" s="1"/>
      <c r="AH11" s="1"/>
      <c r="AI11" s="5">
        <f>540000*149</f>
        <v>80460000</v>
      </c>
      <c r="AK11" s="1" t="s">
        <v>0</v>
      </c>
      <c r="AL11" s="1"/>
      <c r="AM11" s="1"/>
      <c r="AN11" s="5">
        <f>520000*255</f>
        <v>132600000</v>
      </c>
    </row>
    <row r="12" spans="2:40" x14ac:dyDescent="0.3">
      <c r="B12" s="1" t="s">
        <v>1</v>
      </c>
      <c r="C12" s="1"/>
      <c r="D12" s="1"/>
      <c r="E12" s="5">
        <f>610000*42</f>
        <v>25620000</v>
      </c>
      <c r="G12" s="1" t="s">
        <v>1</v>
      </c>
      <c r="H12" s="1"/>
      <c r="I12" s="1"/>
      <c r="J12" s="5">
        <f>610000*57</f>
        <v>34770000</v>
      </c>
      <c r="L12" s="1" t="s">
        <v>1</v>
      </c>
      <c r="M12" s="1"/>
      <c r="N12" s="1"/>
      <c r="O12" s="5">
        <f>610000*80</f>
        <v>48800000</v>
      </c>
      <c r="Q12" s="1" t="s">
        <v>1</v>
      </c>
      <c r="R12" s="1"/>
      <c r="S12" s="1"/>
      <c r="T12" s="5">
        <f>610000*107</f>
        <v>65270000</v>
      </c>
      <c r="U12" s="8"/>
      <c r="V12" s="1" t="s">
        <v>1</v>
      </c>
      <c r="W12" s="1"/>
      <c r="X12" s="1"/>
      <c r="Y12" s="5">
        <f>630000*80</f>
        <v>50400000</v>
      </c>
      <c r="Z12" s="8"/>
      <c r="AA12" s="1" t="s">
        <v>1</v>
      </c>
      <c r="AB12" s="1"/>
      <c r="AC12" s="1"/>
      <c r="AD12" s="5">
        <f>610000*138</f>
        <v>84180000</v>
      </c>
      <c r="AE12" s="8"/>
      <c r="AF12" s="1" t="s">
        <v>1</v>
      </c>
      <c r="AG12" s="1"/>
      <c r="AH12" s="1"/>
      <c r="AI12" s="5">
        <f>630000*149</f>
        <v>93870000</v>
      </c>
      <c r="AK12" s="1" t="s">
        <v>1</v>
      </c>
      <c r="AL12" s="1"/>
      <c r="AM12" s="1"/>
      <c r="AN12" s="5">
        <f>610000*255</f>
        <v>155550000</v>
      </c>
    </row>
    <row r="13" spans="2:40" x14ac:dyDescent="0.3">
      <c r="B13" s="4" t="s">
        <v>33</v>
      </c>
      <c r="C13" s="4"/>
      <c r="D13" s="4"/>
      <c r="E13" s="4"/>
      <c r="G13" s="9"/>
      <c r="H13" s="9"/>
      <c r="I13" s="9"/>
      <c r="J13" s="8"/>
      <c r="L13" s="4" t="s">
        <v>33</v>
      </c>
      <c r="M13" s="4"/>
      <c r="N13" s="4"/>
      <c r="O13" s="4"/>
      <c r="Q13" s="4" t="s">
        <v>33</v>
      </c>
      <c r="R13" s="4"/>
      <c r="S13" s="4"/>
      <c r="T13" s="4"/>
      <c r="U13" s="8"/>
      <c r="V13" s="4" t="s">
        <v>33</v>
      </c>
      <c r="W13" s="4"/>
      <c r="X13" s="4"/>
      <c r="Y13" s="4"/>
      <c r="Z13" s="8"/>
      <c r="AA13" s="4" t="s">
        <v>33</v>
      </c>
      <c r="AB13" s="4"/>
      <c r="AC13" s="4"/>
      <c r="AD13" s="4"/>
      <c r="AE13" s="8"/>
      <c r="AF13" s="4" t="s">
        <v>33</v>
      </c>
      <c r="AG13" s="4"/>
      <c r="AH13" s="4"/>
      <c r="AI13" s="4"/>
      <c r="AK13" s="9"/>
      <c r="AL13" s="9"/>
      <c r="AM13" s="9"/>
      <c r="AN13" s="8"/>
    </row>
    <row r="14" spans="2:40" x14ac:dyDescent="0.3">
      <c r="B14" s="9"/>
      <c r="C14" s="9"/>
      <c r="D14" s="9"/>
      <c r="E14" s="8"/>
      <c r="G14" s="9"/>
      <c r="H14" s="9"/>
      <c r="I14" s="9"/>
      <c r="J14" s="8"/>
      <c r="L14" s="9"/>
      <c r="M14" s="9"/>
      <c r="N14" s="9"/>
      <c r="O14" s="8"/>
      <c r="Q14" s="9"/>
      <c r="R14" s="9"/>
      <c r="S14" s="9"/>
      <c r="T14" s="8"/>
      <c r="U14" s="8"/>
      <c r="V14" s="9"/>
      <c r="W14" s="9"/>
      <c r="X14" s="9"/>
      <c r="Y14" s="8"/>
      <c r="Z14" s="8"/>
      <c r="AA14" s="9"/>
      <c r="AB14" s="9"/>
      <c r="AC14" s="9"/>
      <c r="AD14" s="8"/>
      <c r="AE14" s="8"/>
      <c r="AF14" s="9"/>
      <c r="AG14" s="9"/>
      <c r="AH14" s="9"/>
      <c r="AI14" s="8"/>
      <c r="AK14" s="9"/>
      <c r="AL14" s="9"/>
      <c r="AM14" s="9"/>
      <c r="AN14" s="8"/>
    </row>
    <row r="16" spans="2:40" x14ac:dyDescent="0.3">
      <c r="B16" s="4" t="s">
        <v>4</v>
      </c>
      <c r="C16" s="4"/>
      <c r="D16" s="4"/>
      <c r="E16" s="4"/>
      <c r="G16" s="4" t="s">
        <v>8</v>
      </c>
      <c r="H16" s="4"/>
      <c r="I16" s="4"/>
      <c r="J16" s="4"/>
      <c r="L16" s="4" t="s">
        <v>12</v>
      </c>
      <c r="M16" s="4"/>
      <c r="N16" s="4"/>
      <c r="O16" s="4"/>
      <c r="Q16" s="4" t="s">
        <v>18</v>
      </c>
      <c r="R16" s="4"/>
      <c r="S16" s="4"/>
      <c r="T16" s="4"/>
      <c r="U16" s="6"/>
      <c r="V16" s="4" t="s">
        <v>21</v>
      </c>
      <c r="W16" s="4"/>
      <c r="X16" s="4"/>
      <c r="Y16" s="4"/>
      <c r="Z16" s="6"/>
      <c r="AA16" s="4" t="s">
        <v>25</v>
      </c>
      <c r="AB16" s="4"/>
      <c r="AC16" s="4"/>
      <c r="AD16" s="4"/>
      <c r="AE16" s="6"/>
      <c r="AF16" s="4" t="s">
        <v>29</v>
      </c>
      <c r="AG16" s="4"/>
      <c r="AH16" s="4"/>
      <c r="AI16" s="4"/>
      <c r="AK16" s="4"/>
      <c r="AL16" s="4"/>
      <c r="AM16" s="4"/>
      <c r="AN16" s="4"/>
    </row>
    <row r="17" spans="2:40" x14ac:dyDescent="0.3">
      <c r="B17" s="2" t="s">
        <v>13</v>
      </c>
      <c r="C17" s="2"/>
      <c r="D17" s="2"/>
      <c r="E17" s="3">
        <f>215000*45.6</f>
        <v>9804000</v>
      </c>
      <c r="G17" s="2" t="s">
        <v>13</v>
      </c>
      <c r="H17" s="2"/>
      <c r="I17" s="2"/>
      <c r="J17" s="3">
        <f>215000*72</f>
        <v>15480000</v>
      </c>
      <c r="L17" s="2" t="s">
        <v>13</v>
      </c>
      <c r="M17" s="2"/>
      <c r="N17" s="2"/>
      <c r="O17" s="3">
        <f>215000*83</f>
        <v>17845000</v>
      </c>
      <c r="Q17" s="2" t="s">
        <v>13</v>
      </c>
      <c r="R17" s="2"/>
      <c r="S17" s="2"/>
      <c r="T17" s="3">
        <f>259000*117</f>
        <v>30303000</v>
      </c>
      <c r="U17" s="7"/>
      <c r="V17" s="2" t="s">
        <v>13</v>
      </c>
      <c r="W17" s="2"/>
      <c r="X17" s="2"/>
      <c r="Y17" s="3">
        <f>215000*130</f>
        <v>27950000</v>
      </c>
      <c r="Z17" s="7"/>
      <c r="AA17" s="2" t="s">
        <v>13</v>
      </c>
      <c r="AB17" s="2"/>
      <c r="AC17" s="2"/>
      <c r="AD17" s="3">
        <f>215000*139</f>
        <v>29885000</v>
      </c>
      <c r="AE17" s="7"/>
      <c r="AF17" s="2" t="s">
        <v>13</v>
      </c>
      <c r="AG17" s="2"/>
      <c r="AH17" s="2"/>
      <c r="AI17" s="3">
        <f>215000*191</f>
        <v>41065000</v>
      </c>
      <c r="AK17" s="2"/>
      <c r="AL17" s="2"/>
      <c r="AM17" s="2"/>
      <c r="AN17" s="3"/>
    </row>
    <row r="18" spans="2:40" x14ac:dyDescent="0.3">
      <c r="B18" s="1" t="s">
        <v>0</v>
      </c>
      <c r="C18" s="1"/>
      <c r="D18" s="1"/>
      <c r="E18" s="5">
        <f>520000*45.6</f>
        <v>23712000</v>
      </c>
      <c r="G18" s="1" t="s">
        <v>0</v>
      </c>
      <c r="H18" s="1"/>
      <c r="I18" s="1"/>
      <c r="J18" s="5">
        <f>520000*72</f>
        <v>37440000</v>
      </c>
      <c r="L18" s="1" t="s">
        <v>0</v>
      </c>
      <c r="M18" s="1"/>
      <c r="N18" s="1"/>
      <c r="O18" s="5">
        <f>520000*83</f>
        <v>43160000</v>
      </c>
      <c r="Q18" s="1" t="s">
        <v>0</v>
      </c>
      <c r="R18" s="1"/>
      <c r="S18" s="1"/>
      <c r="T18" s="5">
        <f>590000*83</f>
        <v>48970000</v>
      </c>
      <c r="U18" s="8"/>
      <c r="V18" s="1" t="s">
        <v>0</v>
      </c>
      <c r="W18" s="1"/>
      <c r="X18" s="1"/>
      <c r="Y18" s="5">
        <f>520000*130</f>
        <v>67600000</v>
      </c>
      <c r="Z18" s="8"/>
      <c r="AA18" s="1" t="s">
        <v>0</v>
      </c>
      <c r="AB18" s="1"/>
      <c r="AC18" s="1"/>
      <c r="AD18" s="5">
        <f>520000*139</f>
        <v>72280000</v>
      </c>
      <c r="AE18" s="8"/>
      <c r="AF18" s="1" t="s">
        <v>0</v>
      </c>
      <c r="AG18" s="1"/>
      <c r="AH18" s="1"/>
      <c r="AI18" s="5">
        <f>520000*191</f>
        <v>99320000</v>
      </c>
      <c r="AK18" s="1"/>
      <c r="AL18" s="1"/>
      <c r="AM18" s="1"/>
      <c r="AN18" s="5"/>
    </row>
    <row r="19" spans="2:40" x14ac:dyDescent="0.3">
      <c r="B19" s="1" t="s">
        <v>1</v>
      </c>
      <c r="C19" s="1"/>
      <c r="D19" s="1"/>
      <c r="E19" s="5">
        <f>610000*45.6</f>
        <v>27816000</v>
      </c>
      <c r="G19" s="1" t="s">
        <v>1</v>
      </c>
      <c r="H19" s="1"/>
      <c r="I19" s="1"/>
      <c r="J19" s="5">
        <f>610000*72</f>
        <v>43920000</v>
      </c>
      <c r="L19" s="1" t="s">
        <v>1</v>
      </c>
      <c r="M19" s="1"/>
      <c r="N19" s="1"/>
      <c r="O19" s="5">
        <f>610000*83</f>
        <v>50630000</v>
      </c>
      <c r="Q19" s="1" t="s">
        <v>1</v>
      </c>
      <c r="R19" s="1"/>
      <c r="S19" s="1"/>
      <c r="T19" s="5">
        <f>720000*83</f>
        <v>59760000</v>
      </c>
      <c r="U19" s="8"/>
      <c r="V19" s="1" t="s">
        <v>1</v>
      </c>
      <c r="W19" s="1"/>
      <c r="X19" s="1"/>
      <c r="Y19" s="5">
        <f>610000*130</f>
        <v>79300000</v>
      </c>
      <c r="Z19" s="8"/>
      <c r="AA19" s="1" t="s">
        <v>1</v>
      </c>
      <c r="AB19" s="1"/>
      <c r="AC19" s="1"/>
      <c r="AD19" s="5">
        <f>610000*139</f>
        <v>84790000</v>
      </c>
      <c r="AE19" s="8"/>
      <c r="AF19" s="1" t="s">
        <v>1</v>
      </c>
      <c r="AG19" s="1"/>
      <c r="AH19" s="1"/>
      <c r="AI19" s="5">
        <f>610000*191</f>
        <v>116510000</v>
      </c>
      <c r="AK19" s="1"/>
      <c r="AL19" s="1"/>
      <c r="AM19" s="1"/>
      <c r="AN19" s="5"/>
    </row>
    <row r="20" spans="2:40" x14ac:dyDescent="0.3">
      <c r="B20" s="4" t="s">
        <v>33</v>
      </c>
      <c r="C20" s="4"/>
      <c r="D20" s="4"/>
      <c r="E20" s="4"/>
      <c r="G20" s="4" t="s">
        <v>33</v>
      </c>
      <c r="H20" s="4"/>
      <c r="I20" s="4"/>
      <c r="J20" s="4"/>
      <c r="L20" s="4" t="s">
        <v>33</v>
      </c>
      <c r="M20" s="4"/>
      <c r="N20" s="4"/>
      <c r="O20" s="4"/>
      <c r="Q20" s="4" t="s">
        <v>33</v>
      </c>
      <c r="R20" s="4"/>
      <c r="S20" s="4"/>
      <c r="T20" s="4"/>
      <c r="U20" s="8"/>
      <c r="V20" s="4" t="s">
        <v>33</v>
      </c>
      <c r="W20" s="4"/>
      <c r="X20" s="4"/>
      <c r="Y20" s="4"/>
      <c r="Z20" s="8"/>
      <c r="AA20" s="4" t="s">
        <v>33</v>
      </c>
      <c r="AB20" s="4"/>
      <c r="AC20" s="4"/>
      <c r="AD20" s="4"/>
      <c r="AE20" s="8"/>
      <c r="AF20" s="4" t="s">
        <v>33</v>
      </c>
      <c r="AG20" s="4"/>
      <c r="AH20" s="4"/>
      <c r="AI20" s="4"/>
      <c r="AK20" s="9"/>
      <c r="AL20" s="9"/>
      <c r="AM20" s="9"/>
      <c r="AN20" s="8"/>
    </row>
    <row r="21" spans="2:40" x14ac:dyDescent="0.3">
      <c r="B21" s="9"/>
      <c r="C21" s="9"/>
      <c r="D21" s="9"/>
      <c r="E21" s="8"/>
      <c r="G21" s="9"/>
      <c r="H21" s="9"/>
      <c r="I21" s="9"/>
      <c r="J21" s="8"/>
      <c r="L21" s="9"/>
      <c r="M21" s="9"/>
      <c r="N21" s="9"/>
      <c r="O21" s="8"/>
      <c r="Q21" s="9"/>
      <c r="R21" s="9"/>
      <c r="S21" s="9"/>
      <c r="T21" s="8"/>
      <c r="U21" s="8"/>
      <c r="V21" s="9"/>
      <c r="W21" s="9"/>
      <c r="X21" s="9"/>
      <c r="Y21" s="8"/>
      <c r="Z21" s="8"/>
      <c r="AA21" s="9"/>
      <c r="AB21" s="9"/>
      <c r="AC21" s="9"/>
      <c r="AD21" s="8"/>
      <c r="AE21" s="8"/>
      <c r="AF21" s="9"/>
      <c r="AG21" s="9"/>
      <c r="AH21" s="9"/>
      <c r="AI21" s="8"/>
      <c r="AK21" s="9"/>
      <c r="AL21" s="9"/>
      <c r="AM21" s="9"/>
      <c r="AN21" s="8"/>
    </row>
    <row r="23" spans="2:40" x14ac:dyDescent="0.3">
      <c r="B23" s="4" t="s">
        <v>6</v>
      </c>
      <c r="C23" s="4"/>
      <c r="D23" s="4"/>
      <c r="E23" s="4"/>
      <c r="G23" s="4" t="s">
        <v>11</v>
      </c>
      <c r="H23" s="4"/>
      <c r="I23" s="4"/>
      <c r="J23" s="4"/>
      <c r="L23" s="4" t="s">
        <v>14</v>
      </c>
      <c r="M23" s="4"/>
      <c r="N23" s="4"/>
      <c r="O23" s="4"/>
      <c r="Q23" s="4" t="s">
        <v>17</v>
      </c>
      <c r="R23" s="4"/>
      <c r="S23" s="4"/>
      <c r="T23" s="4"/>
      <c r="U23" s="6"/>
      <c r="V23" s="4" t="s">
        <v>22</v>
      </c>
      <c r="W23" s="4"/>
      <c r="X23" s="4"/>
      <c r="Y23" s="4"/>
      <c r="Z23" s="6"/>
      <c r="AA23" s="4" t="s">
        <v>26</v>
      </c>
      <c r="AB23" s="4"/>
      <c r="AC23" s="4"/>
      <c r="AD23" s="4"/>
      <c r="AE23" s="6"/>
      <c r="AF23" s="4" t="s">
        <v>30</v>
      </c>
      <c r="AG23" s="4"/>
      <c r="AH23" s="4"/>
      <c r="AI23" s="4"/>
      <c r="AK23" s="4"/>
      <c r="AL23" s="4"/>
      <c r="AM23" s="4"/>
      <c r="AN23" s="4"/>
    </row>
    <row r="24" spans="2:40" x14ac:dyDescent="0.3">
      <c r="B24" s="2" t="s">
        <v>13</v>
      </c>
      <c r="C24" s="2"/>
      <c r="D24" s="2"/>
      <c r="E24" s="3">
        <f>215000*47</f>
        <v>10105000</v>
      </c>
      <c r="G24" s="2" t="s">
        <v>13</v>
      </c>
      <c r="H24" s="2"/>
      <c r="I24" s="2"/>
      <c r="J24" s="3">
        <f>215000*74</f>
        <v>15910000</v>
      </c>
      <c r="L24" s="2" t="s">
        <v>13</v>
      </c>
      <c r="M24" s="2"/>
      <c r="N24" s="2"/>
      <c r="O24" s="3">
        <f>215000*94</f>
        <v>20210000</v>
      </c>
      <c r="Q24" s="2" t="s">
        <v>13</v>
      </c>
      <c r="R24" s="2"/>
      <c r="S24" s="2"/>
      <c r="T24" s="3">
        <f>215000*118</f>
        <v>25370000</v>
      </c>
      <c r="U24" s="7"/>
      <c r="V24" s="2" t="s">
        <v>13</v>
      </c>
      <c r="W24" s="2"/>
      <c r="X24" s="2"/>
      <c r="Y24" s="3">
        <f>215000*134</f>
        <v>28810000</v>
      </c>
      <c r="Z24" s="7"/>
      <c r="AA24" s="2" t="s">
        <v>13</v>
      </c>
      <c r="AB24" s="2"/>
      <c r="AC24" s="2"/>
      <c r="AD24" s="3">
        <f>215000*140</f>
        <v>30100000</v>
      </c>
      <c r="AE24" s="7"/>
      <c r="AF24" s="2" t="s">
        <v>13</v>
      </c>
      <c r="AG24" s="2"/>
      <c r="AH24" s="2"/>
      <c r="AI24" s="3">
        <f>230000*193</f>
        <v>44390000</v>
      </c>
      <c r="AK24" s="2"/>
      <c r="AL24" s="2"/>
      <c r="AM24" s="2"/>
      <c r="AN24" s="3"/>
    </row>
    <row r="25" spans="2:40" x14ac:dyDescent="0.3">
      <c r="B25" s="1" t="s">
        <v>0</v>
      </c>
      <c r="C25" s="1"/>
      <c r="D25" s="1"/>
      <c r="E25" s="5">
        <f>520000*47</f>
        <v>24440000</v>
      </c>
      <c r="G25" s="1" t="s">
        <v>0</v>
      </c>
      <c r="H25" s="1"/>
      <c r="I25" s="1"/>
      <c r="J25" s="5">
        <f>520000*74</f>
        <v>38480000</v>
      </c>
      <c r="L25" s="1" t="s">
        <v>0</v>
      </c>
      <c r="M25" s="1"/>
      <c r="N25" s="1"/>
      <c r="O25" s="5">
        <f>520000*94</f>
        <v>48880000</v>
      </c>
      <c r="Q25" s="1" t="s">
        <v>0</v>
      </c>
      <c r="R25" s="1"/>
      <c r="S25" s="1"/>
      <c r="T25" s="5">
        <f>520000*118</f>
        <v>61360000</v>
      </c>
      <c r="U25" s="8"/>
      <c r="V25" s="1" t="s">
        <v>0</v>
      </c>
      <c r="W25" s="1"/>
      <c r="X25" s="1"/>
      <c r="Y25" s="5">
        <f>520000*134</f>
        <v>69680000</v>
      </c>
      <c r="Z25" s="8"/>
      <c r="AA25" s="1" t="s">
        <v>0</v>
      </c>
      <c r="AB25" s="1"/>
      <c r="AC25" s="1"/>
      <c r="AD25" s="5">
        <f>520000*140</f>
        <v>72800000</v>
      </c>
      <c r="AE25" s="8"/>
      <c r="AF25" s="1" t="s">
        <v>0</v>
      </c>
      <c r="AG25" s="1"/>
      <c r="AH25" s="1"/>
      <c r="AI25" s="5">
        <f>540000*193</f>
        <v>104220000</v>
      </c>
      <c r="AK25" s="1"/>
      <c r="AL25" s="1"/>
      <c r="AM25" s="1"/>
      <c r="AN25" s="5"/>
    </row>
    <row r="26" spans="2:40" x14ac:dyDescent="0.3">
      <c r="B26" s="1" t="s">
        <v>1</v>
      </c>
      <c r="C26" s="1"/>
      <c r="D26" s="1"/>
      <c r="E26" s="5">
        <f>610000*47</f>
        <v>28670000</v>
      </c>
      <c r="G26" s="1" t="s">
        <v>1</v>
      </c>
      <c r="H26" s="1"/>
      <c r="I26" s="1"/>
      <c r="J26" s="5">
        <f>610000*74</f>
        <v>45140000</v>
      </c>
      <c r="L26" s="1" t="s">
        <v>1</v>
      </c>
      <c r="M26" s="1"/>
      <c r="N26" s="1"/>
      <c r="O26" s="5">
        <f>610000*94</f>
        <v>57340000</v>
      </c>
      <c r="Q26" s="1" t="s">
        <v>1</v>
      </c>
      <c r="R26" s="1"/>
      <c r="S26" s="1"/>
      <c r="T26" s="5">
        <f>610000*118</f>
        <v>71980000</v>
      </c>
      <c r="U26" s="8"/>
      <c r="V26" s="1" t="s">
        <v>1</v>
      </c>
      <c r="W26" s="1"/>
      <c r="X26" s="1"/>
      <c r="Y26" s="5">
        <f>610000*134</f>
        <v>81740000</v>
      </c>
      <c r="Z26" s="8"/>
      <c r="AA26" s="1" t="s">
        <v>1</v>
      </c>
      <c r="AB26" s="1"/>
      <c r="AC26" s="1"/>
      <c r="AD26" s="5">
        <f>610000*140</f>
        <v>85400000</v>
      </c>
      <c r="AE26" s="8"/>
      <c r="AF26" s="1" t="s">
        <v>1</v>
      </c>
      <c r="AG26" s="1"/>
      <c r="AH26" s="1"/>
      <c r="AI26" s="5">
        <f>630000*193</f>
        <v>121590000</v>
      </c>
      <c r="AK26" s="1"/>
      <c r="AL26" s="1"/>
      <c r="AM26" s="1"/>
      <c r="AN26" s="5"/>
    </row>
    <row r="27" spans="2:40" x14ac:dyDescent="0.3">
      <c r="B27" s="4" t="s">
        <v>33</v>
      </c>
      <c r="C27" s="4"/>
      <c r="D27" s="4"/>
      <c r="E27" s="4"/>
      <c r="G27" s="4" t="s">
        <v>33</v>
      </c>
      <c r="H27" s="4"/>
      <c r="I27" s="4"/>
      <c r="J27" s="4"/>
      <c r="L27" s="4" t="s">
        <v>33</v>
      </c>
      <c r="M27" s="4"/>
      <c r="N27" s="4"/>
      <c r="O27" s="4"/>
      <c r="Q27" s="4" t="s">
        <v>33</v>
      </c>
      <c r="R27" s="4"/>
      <c r="S27" s="4"/>
      <c r="T27" s="4"/>
      <c r="V27" s="4" t="s">
        <v>33</v>
      </c>
      <c r="W27" s="4"/>
      <c r="X27" s="4"/>
      <c r="Y27" s="4"/>
      <c r="AA27" s="4" t="s">
        <v>33</v>
      </c>
      <c r="AB27" s="4"/>
      <c r="AC27" s="4"/>
      <c r="AD27" s="4"/>
      <c r="AF27" s="4" t="s">
        <v>33</v>
      </c>
      <c r="AG27" s="4"/>
      <c r="AH27" s="4"/>
      <c r="AI27" s="4"/>
    </row>
  </sheetData>
  <mergeCells count="154">
    <mergeCell ref="AF6:AI6"/>
    <mergeCell ref="AF13:AI13"/>
    <mergeCell ref="AF20:AI20"/>
    <mergeCell ref="AF27:AI27"/>
    <mergeCell ref="V6:Y6"/>
    <mergeCell ref="V13:Y13"/>
    <mergeCell ref="V20:Y20"/>
    <mergeCell ref="V27:Y27"/>
    <mergeCell ref="AA6:AD6"/>
    <mergeCell ref="AA13:AD13"/>
    <mergeCell ref="AA20:AD20"/>
    <mergeCell ref="AA27:AD27"/>
    <mergeCell ref="B27:E27"/>
    <mergeCell ref="G27:J27"/>
    <mergeCell ref="L27:O27"/>
    <mergeCell ref="Q6:T6"/>
    <mergeCell ref="Q13:T13"/>
    <mergeCell ref="Q20:T20"/>
    <mergeCell ref="Q27:T27"/>
    <mergeCell ref="AK24:AM24"/>
    <mergeCell ref="AK25:AM25"/>
    <mergeCell ref="AK26:AM26"/>
    <mergeCell ref="B6:E6"/>
    <mergeCell ref="G6:J6"/>
    <mergeCell ref="B13:E13"/>
    <mergeCell ref="B20:E20"/>
    <mergeCell ref="G20:J20"/>
    <mergeCell ref="L13:O13"/>
    <mergeCell ref="L20:O20"/>
    <mergeCell ref="AK12:AM12"/>
    <mergeCell ref="AK16:AN16"/>
    <mergeCell ref="AK17:AM17"/>
    <mergeCell ref="AK18:AM18"/>
    <mergeCell ref="AK19:AM19"/>
    <mergeCell ref="AK23:AN23"/>
    <mergeCell ref="AF24:AH24"/>
    <mergeCell ref="AF25:AH25"/>
    <mergeCell ref="AF26:AH26"/>
    <mergeCell ref="AK2:AN2"/>
    <mergeCell ref="AK3:AM3"/>
    <mergeCell ref="AK4:AM4"/>
    <mergeCell ref="AK5:AM5"/>
    <mergeCell ref="AK9:AN9"/>
    <mergeCell ref="AK10:AM10"/>
    <mergeCell ref="AK11:AM11"/>
    <mergeCell ref="AF12:AH12"/>
    <mergeCell ref="AF16:AI16"/>
    <mergeCell ref="AF17:AH17"/>
    <mergeCell ref="AF18:AH18"/>
    <mergeCell ref="AF19:AH19"/>
    <mergeCell ref="AF23:AI23"/>
    <mergeCell ref="AA24:AC24"/>
    <mergeCell ref="AA25:AC25"/>
    <mergeCell ref="AA26:AC26"/>
    <mergeCell ref="AF2:AI2"/>
    <mergeCell ref="AF3:AH3"/>
    <mergeCell ref="AF4:AH4"/>
    <mergeCell ref="AF5:AH5"/>
    <mergeCell ref="AF9:AI9"/>
    <mergeCell ref="AF10:AH10"/>
    <mergeCell ref="AF11:AH11"/>
    <mergeCell ref="AA12:AC12"/>
    <mergeCell ref="AA16:AD16"/>
    <mergeCell ref="AA17:AC17"/>
    <mergeCell ref="AA18:AC18"/>
    <mergeCell ref="AA19:AC19"/>
    <mergeCell ref="AA23:AD23"/>
    <mergeCell ref="V24:X24"/>
    <mergeCell ref="V25:X25"/>
    <mergeCell ref="V26:X26"/>
    <mergeCell ref="AA2:AD2"/>
    <mergeCell ref="AA3:AC3"/>
    <mergeCell ref="AA4:AC4"/>
    <mergeCell ref="AA5:AC5"/>
    <mergeCell ref="AA9:AD9"/>
    <mergeCell ref="AA10:AC10"/>
    <mergeCell ref="AA11:AC11"/>
    <mergeCell ref="V12:X12"/>
    <mergeCell ref="V16:Y16"/>
    <mergeCell ref="V17:X17"/>
    <mergeCell ref="V18:X18"/>
    <mergeCell ref="V19:X19"/>
    <mergeCell ref="V23:Y23"/>
    <mergeCell ref="Q24:S24"/>
    <mergeCell ref="Q25:S25"/>
    <mergeCell ref="Q26:S26"/>
    <mergeCell ref="V2:Y2"/>
    <mergeCell ref="V3:X3"/>
    <mergeCell ref="V4:X4"/>
    <mergeCell ref="V5:X5"/>
    <mergeCell ref="V9:Y9"/>
    <mergeCell ref="V10:X10"/>
    <mergeCell ref="V11:X11"/>
    <mergeCell ref="Q2:T2"/>
    <mergeCell ref="Q3:S3"/>
    <mergeCell ref="Q4:S4"/>
    <mergeCell ref="Q5:S5"/>
    <mergeCell ref="Q9:T9"/>
    <mergeCell ref="Q10:S10"/>
    <mergeCell ref="Q11:S11"/>
    <mergeCell ref="Q12:S12"/>
    <mergeCell ref="Q17:S17"/>
    <mergeCell ref="Q18:S18"/>
    <mergeCell ref="Q19:S19"/>
    <mergeCell ref="Q23:T23"/>
    <mergeCell ref="Q16:T16"/>
    <mergeCell ref="L23:O23"/>
    <mergeCell ref="L24:N24"/>
    <mergeCell ref="L25:N25"/>
    <mergeCell ref="L26:N26"/>
    <mergeCell ref="L11:N11"/>
    <mergeCell ref="L12:N12"/>
    <mergeCell ref="L16:O16"/>
    <mergeCell ref="L17:N17"/>
    <mergeCell ref="L18:N18"/>
    <mergeCell ref="L19:N19"/>
    <mergeCell ref="G23:J23"/>
    <mergeCell ref="G24:I24"/>
    <mergeCell ref="G25:I25"/>
    <mergeCell ref="G26:I26"/>
    <mergeCell ref="L2:O2"/>
    <mergeCell ref="L3:N3"/>
    <mergeCell ref="L4:N4"/>
    <mergeCell ref="L5:N5"/>
    <mergeCell ref="L9:O9"/>
    <mergeCell ref="L10:N10"/>
    <mergeCell ref="G11:I11"/>
    <mergeCell ref="G12:I12"/>
    <mergeCell ref="G16:J16"/>
    <mergeCell ref="G17:I17"/>
    <mergeCell ref="G18:I18"/>
    <mergeCell ref="G19:I19"/>
    <mergeCell ref="B23:E23"/>
    <mergeCell ref="B24:D24"/>
    <mergeCell ref="B25:D25"/>
    <mergeCell ref="B26:D26"/>
    <mergeCell ref="G2:J2"/>
    <mergeCell ref="G3:I3"/>
    <mergeCell ref="G4:I4"/>
    <mergeCell ref="G5:I5"/>
    <mergeCell ref="G9:J9"/>
    <mergeCell ref="G10:I10"/>
    <mergeCell ref="B11:D11"/>
    <mergeCell ref="B12:D12"/>
    <mergeCell ref="B16:E16"/>
    <mergeCell ref="B17:D17"/>
    <mergeCell ref="B18:D18"/>
    <mergeCell ref="B19:D19"/>
    <mergeCell ref="B3:D3"/>
    <mergeCell ref="B4:D4"/>
    <mergeCell ref="B5:D5"/>
    <mergeCell ref="B2:E2"/>
    <mergeCell ref="B9:E9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Urrea Caballero</dc:creator>
  <cp:lastModifiedBy>Juan Carlos Urrea Caballero</cp:lastModifiedBy>
  <dcterms:created xsi:type="dcterms:W3CDTF">2026-03-03T22:17:11Z</dcterms:created>
  <dcterms:modified xsi:type="dcterms:W3CDTF">2026-03-03T22:59:19Z</dcterms:modified>
</cp:coreProperties>
</file>